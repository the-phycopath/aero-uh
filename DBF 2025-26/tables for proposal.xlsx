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Shane\Documents\Professional\"/>
    </mc:Choice>
  </mc:AlternateContent>
  <xr:revisionPtr revIDLastSave="0" documentId="8_{0E6D92E0-7599-4122-9BFE-F5D22CCFFFFF}" xr6:coauthVersionLast="47" xr6:coauthVersionMax="47" xr10:uidLastSave="{00000000-0000-0000-0000-000000000000}"/>
  <bookViews>
    <workbookView xWindow="-110" yWindow="-110" windowWidth="25820" windowHeight="15500" firstSheet="5" xr2:uid="{00000000-000D-0000-FFFF-FFFF00000000}"/>
  </bookViews>
  <sheets>
    <sheet name="trade study template" sheetId="1" r:id="rId1"/>
    <sheet name="subteams" sheetId="2" r:id="rId2"/>
    <sheet name="budget" sheetId="3" r:id="rId3"/>
    <sheet name="Gantt" sheetId="5" r:id="rId4"/>
    <sheet name="mission scoring" sheetId="4" r:id="rId5"/>
    <sheet name="Sheet2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 a="1"/>
  <c r="I8" i="1"/>
  <c r="I17" i="3"/>
  <c r="G17" i="3"/>
  <c r="K17" i="3"/>
  <c r="K18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sharedStrings.xml><?xml version="1.0" encoding="utf-8"?>
<sst xmlns="http://schemas.openxmlformats.org/spreadsheetml/2006/main" count="173" uniqueCount="128">
  <si>
    <t>Score goes here</t>
  </si>
  <si>
    <t>Criteria</t>
  </si>
  <si>
    <t>Weighting Factor</t>
  </si>
  <si>
    <t>Option A</t>
  </si>
  <si>
    <t>Option B</t>
  </si>
  <si>
    <t>Option C</t>
  </si>
  <si>
    <t>IMAGES if possible</t>
  </si>
  <si>
    <t>Stability</t>
  </si>
  <si>
    <t>Cost</t>
  </si>
  <si>
    <t>Complexity</t>
  </si>
  <si>
    <t>etc ctc.</t>
  </si>
  <si>
    <t>Total Score</t>
  </si>
  <si>
    <t>Sub-Teams</t>
  </si>
  <si>
    <t>Roles</t>
  </si>
  <si>
    <t>Skill Sets</t>
  </si>
  <si>
    <t>Aerodynamics</t>
  </si>
  <si>
    <t>Designs, analyzes, and manufacture wings, empennage, and control surfaces.</t>
  </si>
  <si>
    <t>Aerodynamic Analysis (XFLR5), CFD, CAD, Manufacturing</t>
  </si>
  <si>
    <t>Avionics</t>
  </si>
  <si>
    <t>Determines and applies all electrical and signal components in the aircraft</t>
  </si>
  <si>
    <t>Soldering, Circuitry, CAD</t>
  </si>
  <si>
    <t xml:space="preserve">Structures </t>
  </si>
  <si>
    <t>Designs &amp; analyzes fuselage, landing gear, and other physical aspects of the aircraft</t>
  </si>
  <si>
    <t>CAD, CAM, Structural Analysis, Manufacturing</t>
  </si>
  <si>
    <t>Banner Systems</t>
  </si>
  <si>
    <t>BUDGET</t>
  </si>
  <si>
    <t>Structures / Banner Systems</t>
  </si>
  <si>
    <t>Logistics</t>
  </si>
  <si>
    <t>Component</t>
  </si>
  <si>
    <t>Price</t>
  </si>
  <si>
    <t>Receiver</t>
  </si>
  <si>
    <t>Basswood Sheets</t>
  </si>
  <si>
    <t>Entrance Fee</t>
  </si>
  <si>
    <t>Servos (x7)</t>
  </si>
  <si>
    <t>CF Rod</t>
  </si>
  <si>
    <t>Transportation</t>
  </si>
  <si>
    <t>Motor</t>
  </si>
  <si>
    <t>Landing Gear</t>
  </si>
  <si>
    <t>Lodging</t>
  </si>
  <si>
    <t>Battery</t>
  </si>
  <si>
    <t>Balsawood Sheets</t>
  </si>
  <si>
    <t>Shipping</t>
  </si>
  <si>
    <t>Transmitter</t>
  </si>
  <si>
    <t>Filament</t>
  </si>
  <si>
    <t>Misc</t>
  </si>
  <si>
    <t>Propeller</t>
  </si>
  <si>
    <t>Hinges etc.</t>
  </si>
  <si>
    <t>Food</t>
  </si>
  <si>
    <t>ESC</t>
  </si>
  <si>
    <t>Monokote</t>
  </si>
  <si>
    <t>Wiring</t>
  </si>
  <si>
    <t>Banner material</t>
  </si>
  <si>
    <t>Fishing wire</t>
  </si>
  <si>
    <t>Total Cost</t>
  </si>
  <si>
    <t>Total Project Cost</t>
  </si>
  <si>
    <t>needs more info</t>
  </si>
  <si>
    <t>SC-AERO 25-26 Schedule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</si>
  <si>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</si>
  <si>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</si>
  <si>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</si>
  <si>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</si>
  <si>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</si>
  <si>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</si>
  <si>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</si>
  <si>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</si>
  <si>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Aircraft Design</t>
  </si>
  <si>
    <t>Rules Review</t>
  </si>
  <si>
    <t>h</t>
  </si>
  <si>
    <t>Conceptual Design</t>
  </si>
  <si>
    <t>Sensitivity Analysis</t>
  </si>
  <si>
    <t>Detailed Prototype 1 Design</t>
  </si>
  <si>
    <t>Final Design</t>
  </si>
  <si>
    <t>Manufacturing</t>
  </si>
  <si>
    <t>Prototype 1 Manufacturing</t>
  </si>
  <si>
    <t>Electronics Assembly</t>
  </si>
  <si>
    <t>Fuselage Manufacturing</t>
  </si>
  <si>
    <t>Wings Manufacturing</t>
  </si>
  <si>
    <t>Empennage Manufacturing</t>
  </si>
  <si>
    <t>Payload Bay Manufacturing</t>
  </si>
  <si>
    <t>Banner Deployment System Manufacturing</t>
  </si>
  <si>
    <t>Final Plane Manufacturing</t>
  </si>
  <si>
    <t>Electronics Integration</t>
  </si>
  <si>
    <t>Final Plane Integration</t>
  </si>
  <si>
    <t>Testing &amp; Validation</t>
  </si>
  <si>
    <t>Ground Tests</t>
  </si>
  <si>
    <t>Banner Wind Tunnel Testing</t>
  </si>
  <si>
    <t>Battery Limit Testing (Flight time test)</t>
  </si>
  <si>
    <t>Thrust Test</t>
  </si>
  <si>
    <t>Simulations (FEA &amp; CFD)</t>
  </si>
  <si>
    <t>Wing Loading Test</t>
  </si>
  <si>
    <t>Banner Deployment &amp; Release Test</t>
  </si>
  <si>
    <t>CG Test</t>
  </si>
  <si>
    <t>Flight Tests</t>
  </si>
  <si>
    <t>Ground Mission Test</t>
  </si>
  <si>
    <t>Mission 1 Test</t>
  </si>
  <si>
    <t>Mission 2 Test</t>
  </si>
  <si>
    <t>Mission 3 Test</t>
  </si>
  <si>
    <t>Final Flight Test</t>
  </si>
  <si>
    <t>Pre-Tech Inspection Test</t>
  </si>
  <si>
    <t>Competition Deliverables</t>
  </si>
  <si>
    <t>Proposal</t>
  </si>
  <si>
    <t>PDR</t>
  </si>
  <si>
    <t>Design Report</t>
  </si>
  <si>
    <t>CDR</t>
  </si>
  <si>
    <t>Competition</t>
  </si>
  <si>
    <t>formula goes here</t>
  </si>
  <si>
    <t>Mission</t>
  </si>
  <si>
    <t>Scoring Criteria</t>
  </si>
  <si>
    <t>Mission Description</t>
  </si>
  <si>
    <t>Subsystem Requirements</t>
  </si>
  <si>
    <t>Mission 1</t>
  </si>
  <si>
    <t>Mission 2</t>
  </si>
  <si>
    <t>Mission 3</t>
  </si>
  <si>
    <t>Ground Mission</t>
  </si>
  <si>
    <t>Test Type</t>
  </si>
  <si>
    <t>Objective</t>
  </si>
  <si>
    <t>Method</t>
  </si>
  <si>
    <t>Sub-Team</t>
  </si>
  <si>
    <t>Propulsion test</t>
  </si>
  <si>
    <t>Thrust Test Stand</t>
  </si>
  <si>
    <t> </t>
  </si>
  <si>
    <t>Battery Drain Test</t>
  </si>
  <si>
    <t>Ground Test</t>
  </si>
  <si>
    <t>Electronics Bench Test</t>
  </si>
  <si>
    <t>Banner Drag Test</t>
  </si>
  <si>
    <t>Prototype #1</t>
  </si>
  <si>
    <t>Prototype #2</t>
  </si>
  <si>
    <t>Control's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</si>
</sst>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FFFFF"/>
      <name val="Arial"/>
      <family val="2"/>
    </font>
    <font>
      <sz val="11"/>
      <color rgb="FFFFFFFF"/>
      <name val="Arial"/>
      <family val="2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trike/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C8102E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8102E"/>
        <bgColor indexed="64"/>
      </patternFill>
    </fill>
    <fill>
      <patternFill patternType="solid">
        <fgColor rgb="FF54585A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54585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auto="1"/>
      </right>
      <top style="thin">
        <color theme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2" fillId="0" borderId="1" xfId="0" applyFont="1" applyBorder="1" applyAlignment="1">
      <alignment horizontal="center" vertical="center" wrapText="1"/>
    </xf>
    <xf numFmtId="6" fontId="2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vertical="top"/>
    </xf>
    <xf numFmtId="6" fontId="1" fillId="2" borderId="0" xfId="0" applyNumberFormat="1" applyFont="1" applyFill="1"/>
    <xf numFmtId="0" fontId="2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1" fillId="4" borderId="15" xfId="0" applyFont="1" applyFill="1" applyBorder="1" applyAlignment="1">
      <alignment horizontal="left" vertical="center"/>
    </xf>
    <xf numFmtId="0" fontId="11" fillId="4" borderId="16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3" fillId="10" borderId="5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7" fillId="0" borderId="0" xfId="0" applyFont="1" applyAlignment="1">
      <alignment horizontal="left"/>
    </xf>
    <xf numFmtId="0" fontId="7" fillId="5" borderId="0" xfId="0" applyFont="1" applyFill="1" applyAlignment="1">
      <alignment horizontal="left"/>
    </xf>
    <xf numFmtId="0" fontId="7" fillId="6" borderId="0" xfId="0" applyFont="1" applyFill="1" applyAlignment="1">
      <alignment horizontal="left"/>
    </xf>
    <xf numFmtId="0" fontId="13" fillId="0" borderId="0" xfId="0" applyFont="1" applyAlignment="1">
      <alignment horizontal="left" vertical="center"/>
    </xf>
    <xf numFmtId="0" fontId="13" fillId="10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/>
    </xf>
    <xf numFmtId="0" fontId="13" fillId="10" borderId="5" xfId="0" applyFont="1" applyFill="1" applyBorder="1" applyAlignment="1">
      <alignment horizontal="left"/>
    </xf>
    <xf numFmtId="0" fontId="7" fillId="10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wrapText="1"/>
    </xf>
    <xf numFmtId="0" fontId="8" fillId="4" borderId="8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/>
    </xf>
    <xf numFmtId="0" fontId="8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/>
    </xf>
    <xf numFmtId="8" fontId="2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6" fontId="3" fillId="4" borderId="1" xfId="0" applyNumberFormat="1" applyFont="1" applyFill="1" applyBorder="1" applyAlignment="1">
      <alignment horizontal="right" vertical="center" wrapText="1"/>
    </xf>
    <xf numFmtId="6" fontId="3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202A44"/>
      <color rgb="FFC8102E"/>
      <color rgb="FF1F3864"/>
      <color rgb="FF5458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28541</xdr:colOff>
      <xdr:row>3</xdr:row>
      <xdr:rowOff>93095</xdr:rowOff>
    </xdr:from>
    <xdr:to>
      <xdr:col>1</xdr:col>
      <xdr:colOff>244805</xdr:colOff>
      <xdr:row>3</xdr:row>
      <xdr:rowOff>93134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5CE1D49-5636-55CC-C999-D441626E34D3}"/>
            </a:ext>
          </a:extLst>
        </xdr:cNvPr>
        <xdr:cNvCxnSpPr/>
      </xdr:nvCxnSpPr>
      <xdr:spPr>
        <a:xfrm flipV="1">
          <a:off x="2435220" y="686145"/>
          <a:ext cx="216264" cy="39"/>
        </a:xfrm>
        <a:prstGeom prst="line">
          <a:avLst/>
        </a:prstGeom>
        <a:ln>
          <a:solidFill>
            <a:srgbClr val="202A44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22335</xdr:colOff>
      <xdr:row>4</xdr:row>
      <xdr:rowOff>96543</xdr:rowOff>
    </xdr:from>
    <xdr:to>
      <xdr:col>7</xdr:col>
      <xdr:colOff>268942</xdr:colOff>
      <xdr:row>4</xdr:row>
      <xdr:rowOff>97272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96FB01A-7F49-610C-DDDB-E35611E96B53}"/>
            </a:ext>
          </a:extLst>
        </xdr:cNvPr>
        <xdr:cNvCxnSpPr/>
      </xdr:nvCxnSpPr>
      <xdr:spPr>
        <a:xfrm flipV="1">
          <a:off x="2704851" y="872335"/>
          <a:ext cx="1625792" cy="729"/>
        </a:xfrm>
        <a:prstGeom prst="line">
          <a:avLst/>
        </a:prstGeom>
        <a:ln>
          <a:solidFill>
            <a:srgbClr val="202A44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18735</xdr:colOff>
      <xdr:row>5</xdr:row>
      <xdr:rowOff>98943</xdr:rowOff>
    </xdr:from>
    <xdr:to>
      <xdr:col>7</xdr:col>
      <xdr:colOff>265342</xdr:colOff>
      <xdr:row>5</xdr:row>
      <xdr:rowOff>99672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1FFDD4E-F83F-47AD-6CD1-5AA7EC2BF79D}"/>
            </a:ext>
          </a:extLst>
        </xdr:cNvPr>
        <xdr:cNvCxnSpPr/>
      </xdr:nvCxnSpPr>
      <xdr:spPr>
        <a:xfrm flipV="1">
          <a:off x="2700735" y="1046943"/>
          <a:ext cx="1626607" cy="729"/>
        </a:xfrm>
        <a:prstGeom prst="line">
          <a:avLst/>
        </a:prstGeom>
        <a:ln>
          <a:solidFill>
            <a:srgbClr val="202A44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2:M8"/>
  <sheetViews>
    <sheetView tabSelected="1" workbookViewId="0">
      <selection activeCell="I8" sqref="I8"/>
    </sheetView>
  </sheetViews>
  <sheetFormatPr defaultRowHeight="14.5" x14ac:dyDescent="0.35"/>
  <cols>
    <col min="7" max="7" width="12.26953125" customWidth="1"/>
    <col min="8" max="8" width="17.453125" bestFit="1" customWidth="1"/>
    <col min="9" max="9" width="9.453125" customWidth="1"/>
    <col min="10" max="10" width="9.453125" bestFit="1" customWidth="1"/>
    <col min="11" max="11" width="9.54296875" bestFit="1" customWidth="1"/>
    <col min="13" max="13" width="17.1796875" bestFit="1" customWidth="1"/>
  </cols>
  <sheetData>
    <row r="2" spans="7:13" x14ac:dyDescent="0.35">
      <c r="I2" t="s">
        <v>0</v>
      </c>
    </row>
    <row r="3" spans="7:13" x14ac:dyDescent="0.35">
      <c r="G3" s="2" t="s">
        <v>1</v>
      </c>
      <c r="H3" s="2" t="s">
        <v>2</v>
      </c>
      <c r="I3" s="2" t="s">
        <v>3</v>
      </c>
      <c r="J3" s="2" t="s">
        <v>4</v>
      </c>
      <c r="K3" s="2" t="s">
        <v>5</v>
      </c>
      <c r="M3" t="s">
        <v>6</v>
      </c>
    </row>
    <row r="4" spans="7:13" x14ac:dyDescent="0.35">
      <c r="G4" s="1" t="s">
        <v>7</v>
      </c>
      <c r="H4" s="9">
        <v>3</v>
      </c>
      <c r="I4" s="9">
        <v>6</v>
      </c>
      <c r="J4" s="9"/>
      <c r="K4" s="9"/>
    </row>
    <row r="5" spans="7:13" x14ac:dyDescent="0.35">
      <c r="G5" s="1" t="s">
        <v>8</v>
      </c>
      <c r="H5" s="9">
        <v>4</v>
      </c>
      <c r="I5" s="9">
        <v>7</v>
      </c>
      <c r="J5" s="9"/>
      <c r="K5" s="9"/>
    </row>
    <row r="6" spans="7:13" x14ac:dyDescent="0.35">
      <c r="G6" s="1" t="s">
        <v>9</v>
      </c>
      <c r="H6" s="9">
        <v>5</v>
      </c>
      <c r="I6" s="9">
        <v>9</v>
      </c>
      <c r="J6" s="9"/>
      <c r="K6" s="9"/>
    </row>
    <row r="7" spans="7:13" x14ac:dyDescent="0.35">
      <c r="G7" s="1" t="s">
        <v>10</v>
      </c>
      <c r="H7" s="9">
        <v>7</v>
      </c>
      <c r="I7" s="9">
        <v>4</v>
      </c>
      <c r="J7" s="9"/>
      <c r="K7" s="9"/>
    </row>
    <row r="8" spans="7:13" x14ac:dyDescent="0.35">
      <c r="G8" s="42" t="s">
        <v>11</v>
      </c>
      <c r="H8" s="42"/>
      <c r="I8" s="10" cm="1">
        <f t="array" ref="I8">SUM(H4:H7*I4:I7)</f>
        <v>119</v>
      </c>
      <c r="J8" s="3"/>
      <c r="K8" s="3"/>
    </row>
  </sheetData>
  <mergeCells count="1">
    <mergeCell ref="G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AB7B-795C-4818-AD5A-4DDB74BA4B41}">
  <dimension ref="E3:G7"/>
  <sheetViews>
    <sheetView workbookViewId="0">
      <selection activeCell="G4" sqref="G4"/>
    </sheetView>
  </sheetViews>
  <sheetFormatPr defaultRowHeight="14.5" x14ac:dyDescent="0.35"/>
  <cols>
    <col min="5" max="5" width="24.7265625" bestFit="1" customWidth="1"/>
    <col min="6" max="6" width="29.26953125" customWidth="1"/>
    <col min="7" max="7" width="41" customWidth="1"/>
  </cols>
  <sheetData>
    <row r="3" spans="5:7" x14ac:dyDescent="0.35">
      <c r="E3" s="1" t="s">
        <v>12</v>
      </c>
      <c r="F3" s="1" t="s">
        <v>13</v>
      </c>
      <c r="G3" s="1" t="s">
        <v>14</v>
      </c>
    </row>
    <row r="4" spans="5:7" ht="57.75" customHeight="1" x14ac:dyDescent="0.35">
      <c r="E4" s="2" t="s">
        <v>15</v>
      </c>
      <c r="F4" s="30" t="s">
        <v>16</v>
      </c>
      <c r="G4" s="30" t="s">
        <v>17</v>
      </c>
    </row>
    <row r="5" spans="5:7" ht="40.15" customHeight="1" x14ac:dyDescent="0.35">
      <c r="E5" s="2" t="s">
        <v>18</v>
      </c>
      <c r="F5" s="30" t="s">
        <v>19</v>
      </c>
      <c r="G5" s="30" t="s">
        <v>20</v>
      </c>
    </row>
    <row r="6" spans="5:7" ht="52.15" customHeight="1" x14ac:dyDescent="0.35">
      <c r="E6" s="2" t="s">
        <v>21</v>
      </c>
      <c r="F6" s="29" t="s">
        <v>22</v>
      </c>
      <c r="G6" s="30" t="s">
        <v>23</v>
      </c>
    </row>
    <row r="7" spans="5:7" ht="42.65" customHeight="1" x14ac:dyDescent="0.35">
      <c r="E7" s="2" t="s">
        <v>24</v>
      </c>
      <c r="F7" s="30"/>
      <c r="G7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F6C0-E3A2-4DB1-AC14-BD5582286937}">
  <dimension ref="F5:K21"/>
  <sheetViews>
    <sheetView topLeftCell="B1" workbookViewId="0">
      <selection activeCell="M14" sqref="M14"/>
    </sheetView>
  </sheetViews>
  <sheetFormatPr defaultRowHeight="14.5" x14ac:dyDescent="0.35"/>
  <cols>
    <col min="6" max="6" width="15.26953125" bestFit="1" customWidth="1"/>
    <col min="7" max="7" width="14.54296875" customWidth="1"/>
    <col min="8" max="8" width="19.26953125" customWidth="1"/>
    <col min="9" max="9" width="9.81640625" bestFit="1" customWidth="1"/>
    <col min="10" max="10" width="16.54296875" customWidth="1"/>
    <col min="11" max="11" width="10.453125" bestFit="1" customWidth="1"/>
  </cols>
  <sheetData>
    <row r="5" spans="6:11" x14ac:dyDescent="0.35">
      <c r="F5" s="45" t="s">
        <v>25</v>
      </c>
      <c r="G5" s="46"/>
      <c r="H5" s="46"/>
      <c r="I5" s="46"/>
      <c r="J5" s="46"/>
      <c r="K5" s="47"/>
    </row>
    <row r="6" spans="6:11" x14ac:dyDescent="0.35">
      <c r="F6" s="48" t="s">
        <v>18</v>
      </c>
      <c r="G6" s="49"/>
      <c r="H6" s="48" t="s">
        <v>26</v>
      </c>
      <c r="I6" s="49"/>
      <c r="J6" s="48" t="s">
        <v>27</v>
      </c>
      <c r="K6" s="49"/>
    </row>
    <row r="7" spans="6:11" x14ac:dyDescent="0.35">
      <c r="F7" s="36" t="s">
        <v>28</v>
      </c>
      <c r="G7" s="36" t="s">
        <v>29</v>
      </c>
      <c r="H7" s="36" t="s">
        <v>28</v>
      </c>
      <c r="I7" s="36" t="s">
        <v>29</v>
      </c>
      <c r="J7" s="36" t="s">
        <v>28</v>
      </c>
      <c r="K7" s="36" t="s">
        <v>29</v>
      </c>
    </row>
    <row r="8" spans="6:11" x14ac:dyDescent="0.35">
      <c r="F8" s="4" t="s">
        <v>30</v>
      </c>
      <c r="G8" s="5">
        <v>130</v>
      </c>
      <c r="H8" s="4" t="s">
        <v>31</v>
      </c>
      <c r="I8" s="5">
        <v>50</v>
      </c>
      <c r="J8" s="4" t="s">
        <v>32</v>
      </c>
      <c r="K8" s="35">
        <v>550</v>
      </c>
    </row>
    <row r="9" spans="6:11" x14ac:dyDescent="0.35">
      <c r="F9" s="4" t="s">
        <v>33</v>
      </c>
      <c r="G9" s="5">
        <v>87</v>
      </c>
      <c r="H9" s="4" t="s">
        <v>34</v>
      </c>
      <c r="I9" s="5">
        <v>70</v>
      </c>
      <c r="J9" s="4" t="s">
        <v>35</v>
      </c>
      <c r="K9" s="35"/>
    </row>
    <row r="10" spans="6:11" x14ac:dyDescent="0.35">
      <c r="F10" s="4" t="s">
        <v>36</v>
      </c>
      <c r="G10" s="5">
        <v>139</v>
      </c>
      <c r="H10" s="4" t="s">
        <v>37</v>
      </c>
      <c r="I10" s="5">
        <v>50</v>
      </c>
      <c r="J10" s="4" t="s">
        <v>38</v>
      </c>
      <c r="K10" s="35"/>
    </row>
    <row r="11" spans="6:11" x14ac:dyDescent="0.35">
      <c r="F11" s="4" t="s">
        <v>39</v>
      </c>
      <c r="G11" s="5">
        <v>85</v>
      </c>
      <c r="H11" s="4" t="s">
        <v>40</v>
      </c>
      <c r="I11" s="5">
        <v>50</v>
      </c>
      <c r="J11" s="4" t="s">
        <v>41</v>
      </c>
      <c r="K11" s="35"/>
    </row>
    <row r="12" spans="6:11" x14ac:dyDescent="0.35">
      <c r="F12" s="4" t="s">
        <v>42</v>
      </c>
      <c r="G12" s="5">
        <v>320</v>
      </c>
      <c r="H12" s="4" t="s">
        <v>43</v>
      </c>
      <c r="I12" s="4"/>
      <c r="J12" s="4" t="s">
        <v>44</v>
      </c>
      <c r="K12" s="35"/>
    </row>
    <row r="13" spans="6:11" ht="22.9" customHeight="1" x14ac:dyDescent="0.35">
      <c r="F13" s="4" t="s">
        <v>45</v>
      </c>
      <c r="G13" s="5">
        <v>67</v>
      </c>
      <c r="H13" s="4" t="s">
        <v>46</v>
      </c>
      <c r="I13" s="4"/>
      <c r="J13" s="4" t="s">
        <v>47</v>
      </c>
      <c r="K13" s="4"/>
    </row>
    <row r="14" spans="6:11" x14ac:dyDescent="0.35">
      <c r="F14" s="4" t="s">
        <v>48</v>
      </c>
      <c r="G14" s="5">
        <v>125</v>
      </c>
      <c r="H14" s="4" t="s">
        <v>49</v>
      </c>
      <c r="I14" s="4"/>
      <c r="J14" s="4"/>
      <c r="K14" s="4"/>
    </row>
    <row r="15" spans="6:11" x14ac:dyDescent="0.35">
      <c r="F15" s="4" t="s">
        <v>50</v>
      </c>
      <c r="G15" s="5">
        <v>30</v>
      </c>
      <c r="H15" s="4" t="s">
        <v>51</v>
      </c>
      <c r="I15" s="4"/>
      <c r="J15" s="4"/>
      <c r="K15" s="4"/>
    </row>
    <row r="16" spans="6:11" x14ac:dyDescent="0.35">
      <c r="F16" s="4" t="s">
        <v>44</v>
      </c>
      <c r="G16" s="5">
        <v>40</v>
      </c>
      <c r="H16" s="4" t="s">
        <v>52</v>
      </c>
      <c r="I16" s="4"/>
      <c r="J16" s="4"/>
      <c r="K16" s="4"/>
    </row>
    <row r="17" spans="6:11" x14ac:dyDescent="0.35">
      <c r="F17" s="37" t="s">
        <v>53</v>
      </c>
      <c r="G17" s="38">
        <f>SUM(G8:G16)</f>
        <v>1023</v>
      </c>
      <c r="H17" s="37" t="s">
        <v>53</v>
      </c>
      <c r="I17" s="39">
        <f>SUM(I8:I16)</f>
        <v>220</v>
      </c>
      <c r="J17" s="37" t="s">
        <v>53</v>
      </c>
      <c r="K17" s="39">
        <f>SUM(K8:K16)</f>
        <v>550</v>
      </c>
    </row>
    <row r="18" spans="6:11" x14ac:dyDescent="0.35">
      <c r="F18" s="43" t="s">
        <v>54</v>
      </c>
      <c r="G18" s="43"/>
      <c r="H18" s="43"/>
      <c r="I18" s="43"/>
      <c r="J18" s="44"/>
      <c r="K18" s="8">
        <f>SUM(K17,I17,G17)</f>
        <v>1793</v>
      </c>
    </row>
    <row r="21" spans="6:11" x14ac:dyDescent="0.35">
      <c r="H21" t="s">
        <v>55</v>
      </c>
    </row>
  </sheetData>
  <mergeCells count="5">
    <mergeCell ref="F18:J18"/>
    <mergeCell ref="F5:K5"/>
    <mergeCell ref="F6:G6"/>
    <mergeCell ref="H6:I6"/>
    <mergeCell ref="J6:K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482E-B25E-49F9-8732-EB6BA764292D}">
  <sheetPr>
    <pageSetUpPr fitToPage="1"/>
  </sheetPr>
  <dimension ref="A1:AI46"/>
  <sheetViews>
    <sheetView zoomScaleNormal="100" workbookViewId="0">
      <selection activeCell="D11" sqref="D11"/>
    </sheetView>
  </sheetViews>
  <sheetFormatPr defaultColWidth="8.81640625" defaultRowHeight="14.5" x14ac:dyDescent="0.35"/>
  <cols>
    <col min="1" max="1" width="36.26953125" style="13" bestFit="1" customWidth="1"/>
    <col min="2" max="33" width="4" style="13" customWidth="1"/>
    <col min="34" max="16384" width="8.81640625" style="13"/>
  </cols>
  <sheetData>
    <row r="1" spans="1:35" ht="18" customHeight="1" x14ac:dyDescent="0.35">
      <c r="A1" s="52" t="s">
        <v>56</v>
      </c>
      <c r="B1" s="50" t="s">
        <v>57</v>
      </c>
      <c r="C1" s="50"/>
      <c r="D1" s="50"/>
      <c r="E1" s="50"/>
      <c r="F1" s="50" t="s">
        <v>58</v>
      </c>
      <c r="G1" s="50"/>
      <c r="H1" s="50"/>
      <c r="I1" s="50"/>
      <c r="J1" s="50" t="s">
        <v>59</v>
      </c>
      <c r="K1" s="50"/>
      <c r="L1" s="50"/>
      <c r="M1" s="50"/>
      <c r="N1" s="50" t="s">
        <v>60</v>
      </c>
      <c r="O1" s="50"/>
      <c r="P1" s="50"/>
      <c r="Q1" s="50"/>
      <c r="R1" s="50" t="s">
        <v>61</v>
      </c>
      <c r="S1" s="50"/>
      <c r="T1" s="50"/>
      <c r="U1" s="50"/>
      <c r="V1" s="50" t="s">
        <v>62</v>
      </c>
      <c r="W1" s="50"/>
      <c r="X1" s="50"/>
      <c r="Y1" s="50"/>
      <c r="Z1" s="50" t="s">
        <v>63</v>
      </c>
      <c r="AA1" s="50"/>
      <c r="AB1" s="50"/>
      <c r="AC1" s="50"/>
      <c r="AD1" s="50" t="s">
        <v>64</v>
      </c>
      <c r="AE1" s="50"/>
      <c r="AF1" s="50"/>
      <c r="AG1" s="51"/>
    </row>
    <row r="2" spans="1:35" x14ac:dyDescent="0.35">
      <c r="A2" s="53"/>
      <c r="B2" s="14">
        <v>1</v>
      </c>
      <c r="C2" s="14">
        <v>2</v>
      </c>
      <c r="D2" s="14">
        <v>3</v>
      </c>
      <c r="E2" s="14">
        <v>4</v>
      </c>
      <c r="F2" s="14">
        <v>1</v>
      </c>
      <c r="G2" s="14">
        <v>2</v>
      </c>
      <c r="H2" s="14">
        <v>3</v>
      </c>
      <c r="I2" s="14">
        <v>4</v>
      </c>
      <c r="J2" s="14">
        <v>1</v>
      </c>
      <c r="K2" s="14">
        <v>2</v>
      </c>
      <c r="L2" s="14">
        <v>3</v>
      </c>
      <c r="M2" s="14">
        <v>4</v>
      </c>
      <c r="N2" s="14">
        <v>1</v>
      </c>
      <c r="O2" s="14">
        <v>2</v>
      </c>
      <c r="P2" s="14">
        <v>3</v>
      </c>
      <c r="Q2" s="14">
        <v>4</v>
      </c>
      <c r="R2" s="14">
        <v>1</v>
      </c>
      <c r="S2" s="14">
        <v>2</v>
      </c>
      <c r="T2" s="14">
        <v>3</v>
      </c>
      <c r="U2" s="14">
        <v>4</v>
      </c>
      <c r="V2" s="14">
        <v>1</v>
      </c>
      <c r="W2" s="14">
        <v>2</v>
      </c>
      <c r="X2" s="14">
        <v>3</v>
      </c>
      <c r="Y2" s="14">
        <v>4</v>
      </c>
      <c r="Z2" s="14">
        <v>1</v>
      </c>
      <c r="AA2" s="14">
        <v>2</v>
      </c>
      <c r="AB2" s="14">
        <v>3</v>
      </c>
      <c r="AC2" s="14">
        <v>4</v>
      </c>
      <c r="AD2" s="14">
        <v>1</v>
      </c>
      <c r="AE2" s="14">
        <v>2</v>
      </c>
      <c r="AF2" s="14">
        <v>3</v>
      </c>
      <c r="AG2" s="15">
        <v>4</v>
      </c>
    </row>
    <row r="3" spans="1:35" x14ac:dyDescent="0.35">
      <c r="A3" s="31" t="s">
        <v>65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4" spans="1:35" x14ac:dyDescent="0.35">
      <c r="A4" s="16" t="s">
        <v>66</v>
      </c>
      <c r="B4" s="20" t="s">
        <v>67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</row>
    <row r="5" spans="1:35" x14ac:dyDescent="0.35">
      <c r="A5" s="16" t="s">
        <v>68</v>
      </c>
      <c r="B5" s="21"/>
      <c r="C5" s="32"/>
      <c r="D5" s="32"/>
      <c r="E5" s="32"/>
      <c r="F5" s="32"/>
      <c r="G5" s="32"/>
      <c r="H5" s="32"/>
      <c r="I5" s="32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</row>
    <row r="6" spans="1:35" x14ac:dyDescent="0.35">
      <c r="A6" s="16" t="s">
        <v>69</v>
      </c>
      <c r="B6" s="21"/>
      <c r="C6" s="21"/>
      <c r="D6" s="22"/>
      <c r="E6" s="32"/>
      <c r="F6" s="32"/>
      <c r="G6" s="32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</row>
    <row r="7" spans="1:35" x14ac:dyDescent="0.35">
      <c r="A7" s="16" t="s">
        <v>70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</row>
    <row r="8" spans="1:35" x14ac:dyDescent="0.35">
      <c r="A8" s="16" t="s">
        <v>71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</row>
    <row r="9" spans="1:35" x14ac:dyDescent="0.35">
      <c r="A9" s="33" t="s">
        <v>72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I9" s="17"/>
    </row>
    <row r="10" spans="1:35" x14ac:dyDescent="0.35">
      <c r="A10" s="18" t="s">
        <v>73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I10" s="17"/>
    </row>
    <row r="11" spans="1:35" x14ac:dyDescent="0.35">
      <c r="A11" s="16" t="s">
        <v>74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I11" s="17"/>
    </row>
    <row r="12" spans="1:35" x14ac:dyDescent="0.35">
      <c r="A12" s="16" t="s">
        <v>75</v>
      </c>
      <c r="B12" s="21"/>
      <c r="C12" s="21"/>
      <c r="D12" s="21"/>
      <c r="E12" s="21"/>
      <c r="F12" s="21"/>
      <c r="G12" s="21"/>
      <c r="H12" s="24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5" x14ac:dyDescent="0.35">
      <c r="A13" s="16" t="s">
        <v>76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</row>
    <row r="14" spans="1:35" x14ac:dyDescent="0.35">
      <c r="A14" s="16" t="s">
        <v>77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</row>
    <row r="15" spans="1:35" x14ac:dyDescent="0.35">
      <c r="A15" s="16" t="s">
        <v>78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</row>
    <row r="16" spans="1:35" x14ac:dyDescent="0.35">
      <c r="A16" s="16" t="s">
        <v>79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</row>
    <row r="17" spans="1:33" x14ac:dyDescent="0.35">
      <c r="A17" s="25" t="s">
        <v>80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</row>
    <row r="18" spans="1:33" x14ac:dyDescent="0.35">
      <c r="A18" s="16" t="s">
        <v>81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</row>
    <row r="19" spans="1:33" x14ac:dyDescent="0.35">
      <c r="A19" s="16" t="s">
        <v>75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</row>
    <row r="20" spans="1:33" x14ac:dyDescent="0.35">
      <c r="A20" s="16" t="s">
        <v>76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</row>
    <row r="21" spans="1:33" x14ac:dyDescent="0.35">
      <c r="A21" s="16" t="s">
        <v>77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</row>
    <row r="22" spans="1:33" x14ac:dyDescent="0.35">
      <c r="A22" s="16" t="s">
        <v>78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</row>
    <row r="23" spans="1:33" x14ac:dyDescent="0.35">
      <c r="A23" s="16" t="s">
        <v>79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x14ac:dyDescent="0.35">
      <c r="A24" s="16" t="s">
        <v>82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x14ac:dyDescent="0.35">
      <c r="A25" s="34" t="s">
        <v>83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x14ac:dyDescent="0.35">
      <c r="A26" s="27" t="s">
        <v>84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x14ac:dyDescent="0.35">
      <c r="A27" s="26" t="s">
        <v>85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</row>
    <row r="28" spans="1:33" x14ac:dyDescent="0.35">
      <c r="A28" s="16" t="s">
        <v>86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x14ac:dyDescent="0.35">
      <c r="A29" s="16" t="s">
        <v>87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x14ac:dyDescent="0.35">
      <c r="A30" s="16" t="s">
        <v>88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1:33" x14ac:dyDescent="0.35">
      <c r="A31" s="16" t="s">
        <v>89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x14ac:dyDescent="0.35">
      <c r="A32" s="16" t="s">
        <v>90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</row>
    <row r="33" spans="1:33" x14ac:dyDescent="0.35">
      <c r="A33" s="16" t="s">
        <v>91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</row>
    <row r="34" spans="1:33" x14ac:dyDescent="0.35">
      <c r="A34" s="28" t="s">
        <v>92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</row>
    <row r="35" spans="1:33" x14ac:dyDescent="0.35">
      <c r="A35" s="16" t="s">
        <v>93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</row>
    <row r="36" spans="1:33" x14ac:dyDescent="0.35">
      <c r="A36" s="16" t="s">
        <v>94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</row>
    <row r="37" spans="1:33" x14ac:dyDescent="0.35">
      <c r="A37" s="16" t="s">
        <v>95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</row>
    <row r="38" spans="1:33" x14ac:dyDescent="0.35">
      <c r="A38" s="16" t="s">
        <v>96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</row>
    <row r="39" spans="1:33" x14ac:dyDescent="0.35">
      <c r="A39" s="16" t="s">
        <v>97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</row>
    <row r="40" spans="1:33" x14ac:dyDescent="0.35">
      <c r="A40" s="16" t="s">
        <v>98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</row>
    <row r="41" spans="1:33" x14ac:dyDescent="0.35">
      <c r="A41" s="34" t="s">
        <v>99</v>
      </c>
      <c r="B41" s="23"/>
      <c r="C41" s="23"/>
      <c r="D41" s="23"/>
      <c r="E41" s="21"/>
      <c r="F41" s="21"/>
      <c r="G41" s="21"/>
      <c r="H41" s="21"/>
      <c r="I41" s="21"/>
      <c r="J41" s="21"/>
      <c r="K41" s="21"/>
      <c r="L41" s="21"/>
      <c r="M41" s="23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3"/>
      <c r="AG41" s="23"/>
    </row>
    <row r="42" spans="1:33" x14ac:dyDescent="0.35">
      <c r="A42" s="16" t="s">
        <v>100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</row>
    <row r="43" spans="1:33" x14ac:dyDescent="0.35">
      <c r="A43" s="16" t="s">
        <v>101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</row>
    <row r="44" spans="1:33" x14ac:dyDescent="0.35">
      <c r="A44" s="16" t="s">
        <v>102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</row>
    <row r="45" spans="1:33" x14ac:dyDescent="0.35">
      <c r="A45" s="16" t="s">
        <v>103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</row>
    <row r="46" spans="1:33" x14ac:dyDescent="0.35">
      <c r="A46" s="16" t="s">
        <v>104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</row>
  </sheetData>
  <mergeCells count="9">
    <mergeCell ref="AD1:AG1"/>
    <mergeCell ref="R1:U1"/>
    <mergeCell ref="V1:Y1"/>
    <mergeCell ref="Z1:AC1"/>
    <mergeCell ref="A1:A2"/>
    <mergeCell ref="B1:E1"/>
    <mergeCell ref="F1:I1"/>
    <mergeCell ref="J1:M1"/>
    <mergeCell ref="N1:Q1"/>
  </mergeCells>
  <pageMargins left="0.7" right="0.7" top="0.75" bottom="0.75" header="0.3" footer="0.3"/>
  <pageSetup scale="7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1222-5EDF-4C5D-B9AD-5B4F3BFF1115}">
  <dimension ref="E4:H9"/>
  <sheetViews>
    <sheetView workbookViewId="0">
      <selection activeCell="B8" sqref="B8"/>
    </sheetView>
  </sheetViews>
  <sheetFormatPr defaultRowHeight="14.5" x14ac:dyDescent="0.35"/>
  <cols>
    <col min="5" max="5" width="37.1796875" bestFit="1" customWidth="1"/>
    <col min="6" max="6" width="35.453125" customWidth="1"/>
    <col min="7" max="7" width="20.26953125" bestFit="1" customWidth="1"/>
    <col min="8" max="8" width="26.7265625" bestFit="1" customWidth="1"/>
  </cols>
  <sheetData>
    <row r="4" spans="5:8" x14ac:dyDescent="0.35">
      <c r="F4" t="s">
        <v>105</v>
      </c>
    </row>
    <row r="5" spans="5:8" x14ac:dyDescent="0.35">
      <c r="E5" s="6" t="s">
        <v>106</v>
      </c>
      <c r="F5" s="6" t="s">
        <v>107</v>
      </c>
      <c r="G5" s="6" t="s">
        <v>108</v>
      </c>
      <c r="H5" s="6" t="s">
        <v>109</v>
      </c>
    </row>
    <row r="6" spans="5:8" ht="37.15" customHeight="1" x14ac:dyDescent="0.35">
      <c r="E6" s="40" t="s">
        <v>110</v>
      </c>
      <c r="F6" s="9" t="e" vm="1">
        <v>#VALUE!</v>
      </c>
      <c r="G6" s="7"/>
      <c r="H6" s="7"/>
    </row>
    <row r="7" spans="5:8" ht="70.150000000000006" customHeight="1" x14ac:dyDescent="0.35">
      <c r="E7" s="40" t="s">
        <v>111</v>
      </c>
      <c r="F7" s="9" t="e" vm="2">
        <v>#VALUE!</v>
      </c>
      <c r="G7" s="7"/>
      <c r="H7" s="7"/>
    </row>
    <row r="8" spans="5:8" ht="91.15" customHeight="1" x14ac:dyDescent="0.35">
      <c r="E8" s="40" t="s">
        <v>112</v>
      </c>
      <c r="F8" s="9" t="e" vm="3">
        <v>#VALUE!</v>
      </c>
      <c r="G8" s="7"/>
      <c r="H8" s="7"/>
    </row>
    <row r="9" spans="5:8" ht="75" customHeight="1" x14ac:dyDescent="0.35">
      <c r="E9" s="40" t="s">
        <v>113</v>
      </c>
      <c r="F9" s="9" t="e" vm="4">
        <v>#VALUE!</v>
      </c>
      <c r="G9" s="7"/>
      <c r="H9" s="7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5093-7C0D-4396-B877-E08AF310BBF5}">
  <dimension ref="A1:E13"/>
  <sheetViews>
    <sheetView workbookViewId="0">
      <selection activeCell="D1" sqref="D1:D1048576"/>
    </sheetView>
  </sheetViews>
  <sheetFormatPr defaultRowHeight="14.5" x14ac:dyDescent="0.35"/>
  <cols>
    <col min="1" max="1" width="14.453125" bestFit="1" customWidth="1"/>
    <col min="2" max="2" width="23.453125" customWidth="1"/>
    <col min="3" max="4" width="25.7265625" customWidth="1"/>
    <col min="5" max="5" width="29.26953125" customWidth="1"/>
  </cols>
  <sheetData>
    <row r="1" spans="1:5" x14ac:dyDescent="0.35">
      <c r="A1" s="54" t="s">
        <v>114</v>
      </c>
      <c r="B1" s="55"/>
      <c r="C1" s="11" t="s">
        <v>115</v>
      </c>
      <c r="D1" s="11" t="s">
        <v>116</v>
      </c>
      <c r="E1" s="11" t="s">
        <v>117</v>
      </c>
    </row>
    <row r="2" spans="1:5" x14ac:dyDescent="0.35">
      <c r="A2" s="56" t="s">
        <v>118</v>
      </c>
      <c r="B2" s="12" t="s">
        <v>119</v>
      </c>
      <c r="C2" s="41" t="s">
        <v>120</v>
      </c>
      <c r="D2" s="41" t="s">
        <v>120</v>
      </c>
      <c r="E2" s="12" t="s">
        <v>18</v>
      </c>
    </row>
    <row r="3" spans="1:5" ht="28.9" customHeight="1" x14ac:dyDescent="0.35">
      <c r="A3" s="56"/>
      <c r="B3" s="12" t="s">
        <v>121</v>
      </c>
      <c r="C3" s="41" t="s">
        <v>120</v>
      </c>
      <c r="D3" s="41" t="s">
        <v>120</v>
      </c>
      <c r="E3" s="12" t="s">
        <v>18</v>
      </c>
    </row>
    <row r="4" spans="1:5" x14ac:dyDescent="0.35">
      <c r="A4" s="57"/>
      <c r="B4" s="12" t="s">
        <v>120</v>
      </c>
      <c r="C4" s="41" t="s">
        <v>120</v>
      </c>
      <c r="D4" s="41" t="s">
        <v>120</v>
      </c>
      <c r="E4" s="12" t="s">
        <v>120</v>
      </c>
    </row>
    <row r="5" spans="1:5" x14ac:dyDescent="0.35">
      <c r="A5" s="56" t="s">
        <v>122</v>
      </c>
      <c r="B5" s="12" t="s">
        <v>89</v>
      </c>
      <c r="C5" s="41" t="s">
        <v>120</v>
      </c>
      <c r="D5" s="41" t="s">
        <v>120</v>
      </c>
      <c r="E5" s="12" t="s">
        <v>120</v>
      </c>
    </row>
    <row r="6" spans="1:5" x14ac:dyDescent="0.35">
      <c r="A6" s="56"/>
      <c r="B6" s="12" t="s">
        <v>123</v>
      </c>
      <c r="C6" s="41"/>
      <c r="D6" s="41"/>
      <c r="E6" s="12" t="s">
        <v>18</v>
      </c>
    </row>
    <row r="7" spans="1:5" x14ac:dyDescent="0.35">
      <c r="A7" s="56"/>
      <c r="B7" s="12"/>
      <c r="C7" s="41"/>
      <c r="D7" s="41"/>
      <c r="E7" s="12"/>
    </row>
    <row r="8" spans="1:5" x14ac:dyDescent="0.35">
      <c r="A8" s="56"/>
      <c r="B8" s="12" t="s">
        <v>124</v>
      </c>
      <c r="C8" s="41" t="s">
        <v>120</v>
      </c>
      <c r="D8" s="41" t="s">
        <v>120</v>
      </c>
      <c r="E8" s="12" t="s">
        <v>120</v>
      </c>
    </row>
    <row r="9" spans="1:5" x14ac:dyDescent="0.35">
      <c r="A9" s="57"/>
      <c r="B9" s="12" t="s">
        <v>120</v>
      </c>
      <c r="C9" s="41" t="s">
        <v>120</v>
      </c>
      <c r="D9" s="41" t="s">
        <v>120</v>
      </c>
      <c r="E9" s="12" t="s">
        <v>120</v>
      </c>
    </row>
    <row r="10" spans="1:5" x14ac:dyDescent="0.35">
      <c r="A10" s="56" t="s">
        <v>92</v>
      </c>
      <c r="B10" s="12" t="s">
        <v>125</v>
      </c>
      <c r="C10" s="41" t="s">
        <v>120</v>
      </c>
      <c r="D10" s="41" t="s">
        <v>120</v>
      </c>
      <c r="E10" s="12" t="s">
        <v>120</v>
      </c>
    </row>
    <row r="11" spans="1:5" x14ac:dyDescent="0.35">
      <c r="A11" s="56"/>
      <c r="B11" s="12" t="s">
        <v>126</v>
      </c>
      <c r="C11" s="41"/>
      <c r="D11" s="41"/>
      <c r="E11" s="12"/>
    </row>
    <row r="12" spans="1:5" x14ac:dyDescent="0.35">
      <c r="A12" s="56"/>
      <c r="B12" s="12" t="s">
        <v>127</v>
      </c>
      <c r="C12" s="41" t="s">
        <v>120</v>
      </c>
      <c r="D12" s="41" t="s">
        <v>120</v>
      </c>
      <c r="E12" s="12" t="s">
        <v>120</v>
      </c>
    </row>
    <row r="13" spans="1:5" x14ac:dyDescent="0.35">
      <c r="A13" s="57"/>
      <c r="B13" s="12" t="s">
        <v>120</v>
      </c>
      <c r="C13" s="41" t="s">
        <v>120</v>
      </c>
      <c r="D13" s="41" t="s">
        <v>120</v>
      </c>
      <c r="E13" s="12" t="s">
        <v>120</v>
      </c>
    </row>
  </sheetData>
  <mergeCells count="4">
    <mergeCell ref="A1:B1"/>
    <mergeCell ref="A2:A4"/>
    <mergeCell ref="A5:A9"/>
    <mergeCell ref="A10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trade study template</vt:lpstr>
      <vt:lpstr>subteams</vt:lpstr>
      <vt:lpstr>budget</vt:lpstr>
      <vt:lpstr>Gantt</vt:lpstr>
      <vt:lpstr>mission scoring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Shane Abbott</dc:creator>
  <cp:keywords/>
  <dc:description/>
  <cp:lastModifiedBy>Abbott, Shane</cp:lastModifiedBy>
  <cp:revision/>
  <dcterms:created xsi:type="dcterms:W3CDTF">2025-10-21T16:36:35Z</dcterms:created>
  <dcterms:modified xsi:type="dcterms:W3CDTF">2025-10-25T22:27:36Z</dcterms:modified>
  <cp:category/>
  <cp:contentStatus/>
</cp:coreProperties>
</file>